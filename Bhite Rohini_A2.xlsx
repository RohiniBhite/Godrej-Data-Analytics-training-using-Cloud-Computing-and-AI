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40CF47C-0047-4E7F-969E-2B5395744139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Task1" sheetId="1" r:id="rId1"/>
    <sheet name="Task2" sheetId="2" r:id="rId2"/>
    <sheet name="Task 3" sheetId="3" r:id="rId3"/>
    <sheet name="Task4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3" l="1"/>
  <c r="J25" i="3"/>
  <c r="J24" i="3"/>
  <c r="J30" i="3" s="1"/>
  <c r="D24" i="3"/>
  <c r="D27" i="3"/>
  <c r="D26" i="3"/>
  <c r="D25" i="3"/>
  <c r="G16" i="3"/>
  <c r="D9" i="3"/>
  <c r="D13" i="3"/>
  <c r="D12" i="3"/>
  <c r="D11" i="3"/>
  <c r="D10" i="3"/>
  <c r="G15" i="2"/>
  <c r="G18" i="2"/>
  <c r="G17" i="2"/>
  <c r="G16" i="2"/>
  <c r="G13" i="2"/>
  <c r="G12" i="2"/>
  <c r="L13" i="1"/>
  <c r="J13" i="1"/>
  <c r="G13" i="1"/>
  <c r="D13" i="1"/>
  <c r="D30" i="3" l="1"/>
  <c r="D16" i="3"/>
</calcChain>
</file>

<file path=xl/sharedStrings.xml><?xml version="1.0" encoding="utf-8"?>
<sst xmlns="http://schemas.openxmlformats.org/spreadsheetml/2006/main" count="97" uniqueCount="80">
  <si>
    <t>Dept:Information Technology</t>
  </si>
  <si>
    <t>Task-1</t>
  </si>
  <si>
    <t>Principal</t>
  </si>
  <si>
    <t>Interest Rate (PA)</t>
  </si>
  <si>
    <t>Interest Rate</t>
  </si>
  <si>
    <t>Time Period (Years)</t>
  </si>
  <si>
    <t>Time Period</t>
  </si>
  <si>
    <t>What if Interest Rate Changes?</t>
  </si>
  <si>
    <t>What if Time Period Changes?</t>
  </si>
  <si>
    <t>What if Principal Changes?</t>
  </si>
  <si>
    <t>What if Interest Rate chnages while Time Period is fixed?</t>
  </si>
  <si>
    <t>Maturity Amount</t>
  </si>
  <si>
    <t>Task 2</t>
  </si>
  <si>
    <t>Placemnet Data</t>
  </si>
  <si>
    <t>Total Number of students available for placements</t>
  </si>
  <si>
    <t>Students placed in jan 25</t>
  </si>
  <si>
    <t>Students placed in Feb 25</t>
  </si>
  <si>
    <t>Students placed in Mar 25</t>
  </si>
  <si>
    <t>Students Placed in April 25</t>
  </si>
  <si>
    <t>Students Not placed till May 25</t>
  </si>
  <si>
    <t>Total Students Placed</t>
  </si>
  <si>
    <t>Total Students Not Placed</t>
  </si>
  <si>
    <t>Percentage of students not placed</t>
  </si>
  <si>
    <t>Percentage of students placed</t>
  </si>
  <si>
    <t>Highest Placement Month</t>
  </si>
  <si>
    <t>Average Students placed per month</t>
  </si>
  <si>
    <t>Lowest Placement  Month</t>
  </si>
  <si>
    <t>1)MONTH-WISE STUDENTS PLACED (BEST GRAPH)</t>
  </si>
  <si>
    <t>Rent V/s Buy</t>
  </si>
  <si>
    <t>Rent Scenario</t>
  </si>
  <si>
    <t>Outright Buy</t>
  </si>
  <si>
    <t>Comparision</t>
  </si>
  <si>
    <t>1st year Rent(Per Month)</t>
  </si>
  <si>
    <t>Purchase</t>
  </si>
  <si>
    <t>Rent(5 year)</t>
  </si>
  <si>
    <t>2nd year Rent</t>
  </si>
  <si>
    <t>Stamp Duty</t>
  </si>
  <si>
    <t>Buy</t>
  </si>
  <si>
    <t>3rd year Rent</t>
  </si>
  <si>
    <t>Maintenance</t>
  </si>
  <si>
    <t>4th year Rent</t>
  </si>
  <si>
    <t>5th year Rent</t>
  </si>
  <si>
    <t>Analysis-&gt;</t>
  </si>
  <si>
    <t>Rent is cheaper then buying</t>
  </si>
  <si>
    <t>Interest</t>
  </si>
  <si>
    <t>Total Cashflow</t>
  </si>
  <si>
    <t>Total BuyCost</t>
  </si>
  <si>
    <t>Online Class V/s Offline Class</t>
  </si>
  <si>
    <t>What-If-Analysis</t>
  </si>
  <si>
    <t>Online Class</t>
  </si>
  <si>
    <t>Monthly Fees</t>
  </si>
  <si>
    <t>Yearly Fees</t>
  </si>
  <si>
    <t>Offline Class</t>
  </si>
  <si>
    <t>Cost</t>
  </si>
  <si>
    <t xml:space="preserve">1st year </t>
  </si>
  <si>
    <t>Cource Fees</t>
  </si>
  <si>
    <t>2nd year</t>
  </si>
  <si>
    <t>Travel Expense</t>
  </si>
  <si>
    <t>3rd year</t>
  </si>
  <si>
    <t>Books &amp; Material</t>
  </si>
  <si>
    <t>4th year</t>
  </si>
  <si>
    <t>Total Cost</t>
  </si>
  <si>
    <t>Total Coat</t>
  </si>
  <si>
    <t>Task 4</t>
  </si>
  <si>
    <t>Analytics Framework and latest trends  and it's  Examles</t>
  </si>
  <si>
    <t>Application</t>
  </si>
  <si>
    <t>Example</t>
  </si>
  <si>
    <t>1)Augmented Data Management</t>
  </si>
  <si>
    <t xml:space="preserve">Data quality monitoring tools </t>
  </si>
  <si>
    <t xml:space="preserve">AI tools continuously monitor data and automatically detect missing values, duplicates, or incorrect entries to maintain high data quality.  </t>
  </si>
  <si>
    <t>2)NLP/Conversation AI Analystics</t>
  </si>
  <si>
    <t xml:space="preserve">Voice assistants for analytics </t>
  </si>
  <si>
    <t>Users can ask questions using voice (like “What were last month’s sales?”) and the system converts speech into data queries and gives instant insights.</t>
  </si>
  <si>
    <t>3)Blockchain</t>
  </si>
  <si>
    <t>Digital identity verification</t>
  </si>
  <si>
    <t xml:space="preserve">Blockchain securely stores user identity information, making it tamper-proof and useful for secure login and verification processes. </t>
  </si>
  <si>
    <t>4)Graph Analytics</t>
  </si>
  <si>
    <t xml:space="preserve"> Social network analysis</t>
  </si>
  <si>
    <t xml:space="preserve"> Graph analytics analyzes relationships between users on social media to identify influencers, communities, or fake accounts.</t>
  </si>
  <si>
    <t>Name:Rohini Ramkisan Bhite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</si>
</sst>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&quot;₹&quot;\ #,##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3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7">
    <xf numFmtId="0" fontId="0" fillId="0" borderId="0" xfId="0"/>
    <xf numFmtId="10" fontId="0" fillId="0" borderId="0" xfId="0" applyNumberFormat="1"/>
    <xf numFmtId="0" fontId="0" fillId="3" borderId="0" xfId="0" applyFill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64" fontId="1" fillId="2" borderId="1" xfId="0" applyNumberFormat="1" applyFont="1" applyFill="1" applyBorder="1"/>
    <xf numFmtId="164" fontId="0" fillId="2" borderId="1" xfId="0" applyNumberFormat="1" applyFill="1" applyBorder="1"/>
    <xf numFmtId="164" fontId="4" fillId="3" borderId="1" xfId="0" applyNumberFormat="1" applyFont="1" applyFill="1" applyBorder="1"/>
    <xf numFmtId="0" fontId="1" fillId="0" borderId="1" xfId="0" applyFont="1" applyBorder="1"/>
    <xf numFmtId="10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3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4" fillId="2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4" fillId="0" borderId="1" xfId="0" applyFont="1" applyBorder="1"/>
    <xf numFmtId="164" fontId="1" fillId="4" borderId="1" xfId="0" applyNumberFormat="1" applyFont="1" applyFill="1" applyBorder="1"/>
    <xf numFmtId="164" fontId="1" fillId="5" borderId="1" xfId="0" applyNumberFormat="1" applyFont="1" applyFill="1" applyBorder="1"/>
    <xf numFmtId="164" fontId="0" fillId="4" borderId="1" xfId="0" applyNumberFormat="1" applyFill="1" applyBorder="1"/>
    <xf numFmtId="164" fontId="0" fillId="0" borderId="1" xfId="0" applyNumberFormat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0" fontId="0" fillId="6" borderId="0" xfId="0" applyFill="1"/>
    <xf numFmtId="0" fontId="2" fillId="6" borderId="1" xfId="0" applyFont="1" applyFill="1" applyBorder="1"/>
    <xf numFmtId="0" fontId="0" fillId="6" borderId="1" xfId="0" applyFill="1" applyBorder="1"/>
    <xf numFmtId="10" fontId="2" fillId="6" borderId="1" xfId="0" applyNumberFormat="1" applyFont="1" applyFill="1" applyBorder="1"/>
    <xf numFmtId="0" fontId="0" fillId="0" borderId="2" xfId="0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10" fontId="0" fillId="0" borderId="0" xfId="1" applyNumberFormat="1" applyFont="1"/>
    <xf numFmtId="0" fontId="0" fillId="7" borderId="1" xfId="0" applyFill="1" applyBorder="1"/>
    <xf numFmtId="0" fontId="10" fillId="0" borderId="0" xfId="0" applyFont="1"/>
    <xf numFmtId="0" fontId="11" fillId="0" borderId="0" xfId="0" applyFont="1"/>
    <xf numFmtId="0" fontId="11" fillId="0" borderId="1" xfId="0" applyFont="1" applyBorder="1"/>
    <xf numFmtId="9" fontId="0" fillId="0" borderId="1" xfId="0" applyNumberFormat="1" applyBorder="1"/>
    <xf numFmtId="165" fontId="0" fillId="0" borderId="1" xfId="0" applyNumberForma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Task2!$D$6:$D$9</c:f>
              <c:strCache>
                <c:ptCount val="4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</c:strCache>
            </c:strRef>
          </c:cat>
          <c:val>
            <c:numRef>
              <c:f>Task2!$E$6:$E$9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9CB9-4E5C-9CCC-7BB5833739F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Task2!$D$6:$D$9</c:f>
              <c:strCache>
                <c:ptCount val="4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</c:strCache>
            </c:strRef>
          </c:cat>
          <c:val>
            <c:numRef>
              <c:f>Task2!$F$6:$F$9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9CB9-4E5C-9CCC-7BB5833739F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Task2!$D$6:$D$9</c:f>
              <c:strCache>
                <c:ptCount val="4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</c:strCache>
            </c:strRef>
          </c:cat>
          <c:val>
            <c:numRef>
              <c:f>Task2!$G$6:$G$9</c:f>
              <c:numCache>
                <c:formatCode>General</c:formatCode>
                <c:ptCount val="4"/>
                <c:pt idx="0">
                  <c:v>3</c:v>
                </c:pt>
                <c:pt idx="1">
                  <c:v>25</c:v>
                </c:pt>
                <c:pt idx="2">
                  <c:v>35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B9-4E5C-9CCC-7BB58337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4423807"/>
        <c:axId val="2139995535"/>
      </c:barChart>
      <c:catAx>
        <c:axId val="50442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95535"/>
        <c:crosses val="autoZero"/>
        <c:auto val="1"/>
        <c:lblAlgn val="ctr"/>
        <c:lblOffset val="100"/>
        <c:noMultiLvlLbl val="0"/>
      </c:catAx>
      <c:valAx>
        <c:axId val="21399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42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College Placement Record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CF7-4BB6-8667-555AE37CB98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CF7-4BB6-8667-555AE37CB98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CF7-4BB6-8667-555AE37CB98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CF7-4BB6-8667-555AE37CB98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CF7-4BB6-8667-555AE37CB9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Task2!$D$6:$D$10</c:f>
              <c:strCache>
                <c:ptCount val="5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  <c:pt idx="4">
                  <c:v>Students Not placed till May 25</c:v>
                </c:pt>
              </c:strCache>
            </c:strRef>
          </c:cat>
          <c:val>
            <c:numRef>
              <c:f>Task2!$E$6:$E$10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908B-48C4-9C38-C193A8DBA473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CF7-4BB6-8667-555AE37CB98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CF7-4BB6-8667-555AE37CB98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CF7-4BB6-8667-555AE37CB98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CF7-4BB6-8667-555AE37CB98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CF7-4BB6-8667-555AE37CB9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Task2!$D$6:$D$10</c:f>
              <c:strCache>
                <c:ptCount val="5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  <c:pt idx="4">
                  <c:v>Students Not placed till May 25</c:v>
                </c:pt>
              </c:strCache>
            </c:strRef>
          </c:cat>
          <c:val>
            <c:numRef>
              <c:f>Task2!$F$6:$F$10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908B-48C4-9C38-C193A8DBA473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CF7-4BB6-8667-555AE37CB98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ECF7-4BB6-8667-555AE37CB98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ECF7-4BB6-8667-555AE37CB98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ECF7-4BB6-8667-555AE37CB98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ECF7-4BB6-8667-555AE37CB9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Task2!$D$6:$D$10</c:f>
              <c:strCache>
                <c:ptCount val="5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  <c:pt idx="4">
                  <c:v>Students Not placed till May 25</c:v>
                </c:pt>
              </c:strCache>
            </c:strRef>
          </c:cat>
          <c:val>
            <c:numRef>
              <c:f>Task2!$G$6:$G$10</c:f>
              <c:numCache>
                <c:formatCode>General</c:formatCode>
                <c:ptCount val="5"/>
                <c:pt idx="0">
                  <c:v>3</c:v>
                </c:pt>
                <c:pt idx="1">
                  <c:v>25</c:v>
                </c:pt>
                <c:pt idx="2">
                  <c:v>35</c:v>
                </c:pt>
                <c:pt idx="3">
                  <c:v>15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B-48C4-9C38-C193A8DBA47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550983</xdr:colOff>
      <xdr:row>22</xdr:row>
      <xdr:rowOff>29307</xdr:rowOff>
    </xdr:from>
    <xdr:to>
      <xdr:col>6</xdr:col>
      <xdr:colOff>41031</xdr:colOff>
      <xdr:row>36</xdr:row>
      <xdr:rowOff>11722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2C365-05BD-DD7D-099B-BB2FA4239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193430</xdr:colOff>
      <xdr:row>21</xdr:row>
      <xdr:rowOff>82061</xdr:rowOff>
    </xdr:from>
    <xdr:to>
      <xdr:col>12</xdr:col>
      <xdr:colOff>339969</xdr:colOff>
      <xdr:row>35</xdr:row>
      <xdr:rowOff>175846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C198A6-531C-6312-9C11-5347BBFF0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3"/>
  <sheetViews>
    <sheetView tabSelected="1" workbookViewId="0">
      <selection activeCell="K4" sqref="K4"/>
    </sheetView>
  </sheetViews>
  <sheetFormatPr defaultRowHeight="14.4" x14ac:dyDescent="0.3"/>
  <cols>
    <col min="3" max="3" width="16.44140625" customWidth="1"/>
    <col min="4" max="4" width="20.44140625" customWidth="1"/>
    <col min="5" max="5" width="14.109375" hidden="1" customWidth="1"/>
    <col min="6" max="6" width="12" customWidth="1"/>
    <col min="7" max="7" width="17.6640625" customWidth="1"/>
    <col min="8" max="8" width="8.88671875" hidden="1" customWidth="1"/>
    <col min="9" max="9" width="15.6640625" customWidth="1"/>
    <col min="10" max="10" width="17.88671875" customWidth="1"/>
    <col min="11" max="11" width="18.33203125" customWidth="1"/>
    <col min="12" max="12" width="31" customWidth="1"/>
  </cols>
  <sheetData>
    <row r="2" spans="2:12" x14ac:dyDescent="0.3">
      <c r="G2" s="4" t="s">
        <v>79</v>
      </c>
      <c r="H2" s="5"/>
      <c r="I2" s="5"/>
    </row>
    <row r="3" spans="2:12" x14ac:dyDescent="0.3">
      <c r="G3" s="4" t="s">
        <v>0</v>
      </c>
      <c r="H3" s="5"/>
      <c r="I3" s="32"/>
    </row>
    <row r="4" spans="2:12" x14ac:dyDescent="0.3">
      <c r="D4" s="3"/>
    </row>
    <row r="6" spans="2:12" x14ac:dyDescent="0.3">
      <c r="D6" s="2"/>
    </row>
    <row r="7" spans="2:12" x14ac:dyDescent="0.3">
      <c r="B7" s="4" t="s">
        <v>1</v>
      </c>
      <c r="C7" s="9" t="s">
        <v>2</v>
      </c>
      <c r="D7" s="5">
        <v>500000</v>
      </c>
      <c r="E7" s="5"/>
      <c r="F7" s="4" t="s">
        <v>2</v>
      </c>
      <c r="G7" s="5">
        <v>500000</v>
      </c>
      <c r="H7" s="5"/>
      <c r="I7" s="4" t="s">
        <v>2</v>
      </c>
      <c r="J7" s="5">
        <v>500000</v>
      </c>
      <c r="K7" s="4" t="s">
        <v>2</v>
      </c>
      <c r="L7" s="5">
        <v>500000</v>
      </c>
    </row>
    <row r="8" spans="2:12" x14ac:dyDescent="0.3">
      <c r="B8" s="5"/>
      <c r="C8" s="9" t="s">
        <v>3</v>
      </c>
      <c r="D8" s="10">
        <v>7.6999999999999999E-2</v>
      </c>
      <c r="E8" s="5"/>
      <c r="F8" s="4" t="s">
        <v>4</v>
      </c>
      <c r="G8" s="10">
        <v>7.6999999999999999E-2</v>
      </c>
      <c r="H8" s="5"/>
      <c r="I8" s="4" t="s">
        <v>4</v>
      </c>
      <c r="J8" s="10">
        <v>7.6999999999999999E-2</v>
      </c>
      <c r="K8" s="4" t="s">
        <v>4</v>
      </c>
      <c r="L8" s="10">
        <v>7.6999999999999999E-2</v>
      </c>
    </row>
    <row r="9" spans="2:12" x14ac:dyDescent="0.3">
      <c r="B9" s="5"/>
      <c r="C9" s="9" t="s">
        <v>5</v>
      </c>
      <c r="D9" s="5">
        <v>5</v>
      </c>
      <c r="E9" s="5"/>
      <c r="F9" s="4" t="s">
        <v>6</v>
      </c>
      <c r="G9" s="5">
        <v>5</v>
      </c>
      <c r="H9" s="5"/>
      <c r="I9" s="4" t="s">
        <v>6</v>
      </c>
      <c r="J9" s="5">
        <v>5</v>
      </c>
      <c r="K9" s="4" t="s">
        <v>6</v>
      </c>
      <c r="L9" s="5">
        <v>5</v>
      </c>
    </row>
    <row r="10" spans="2:12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3">
      <c r="B11" s="5"/>
      <c r="C11" s="11" t="s">
        <v>7</v>
      </c>
      <c r="D11" s="12"/>
      <c r="E11" s="13"/>
      <c r="F11" s="14" t="s">
        <v>8</v>
      </c>
      <c r="G11" s="15"/>
      <c r="H11" s="15"/>
      <c r="I11" s="16" t="s">
        <v>9</v>
      </c>
      <c r="J11" s="17"/>
      <c r="K11" s="29" t="s">
        <v>10</v>
      </c>
      <c r="L11" s="30"/>
    </row>
    <row r="12" spans="2:12" x14ac:dyDescent="0.3">
      <c r="B12" s="5"/>
      <c r="C12" s="11"/>
      <c r="D12" s="18" t="s">
        <v>11</v>
      </c>
      <c r="E12" s="13"/>
      <c r="F12" s="14"/>
      <c r="G12" s="19" t="s">
        <v>11</v>
      </c>
      <c r="H12" s="15"/>
      <c r="I12" s="16"/>
      <c r="J12" s="20" t="s">
        <v>11</v>
      </c>
      <c r="K12" s="30"/>
      <c r="L12" s="31" t="s">
        <v>11</v>
      </c>
    </row>
    <row r="13" spans="2:12" x14ac:dyDescent="0.3">
      <c r="B13" s="5"/>
      <c r="C13" s="21" t="s">
        <v>4</v>
      </c>
      <c r="D13" s="6">
        <f>D7*(1+D8)^D9</f>
        <v>724516.90099457849</v>
      </c>
      <c r="E13" s="5"/>
      <c r="F13" s="5" t="s">
        <v>6</v>
      </c>
      <c r="G13" s="22">
        <f>G7*(1+G8)^G9</f>
        <v>724516.90099457849</v>
      </c>
      <c r="H13" s="5"/>
      <c r="I13" s="21" t="s">
        <v>2</v>
      </c>
      <c r="J13" s="23">
        <f>J7*(1+J8)^J9</f>
        <v>724516.90099457849</v>
      </c>
      <c r="K13" s="8" t="s">
        <v>6</v>
      </c>
      <c r="L13" s="27">
        <f>L7*(1+L8)^L9</f>
        <v>724516.90099457849</v>
      </c>
    </row>
    <row r="14" spans="2:12" x14ac:dyDescent="0.3">
      <c r="B14" s="5"/>
      <c r="C14" s="10">
        <v>6.5000000000000002E-2</v>
      </c>
      <c r="D14" s="7">
        <f t="dataTable" ref="D14:D28" dt2D="0" dtr="0" r1="D8"/>
        <v>685043.33170781226</v>
      </c>
      <c r="E14" s="5"/>
      <c r="F14" s="5">
        <v>2</v>
      </c>
      <c r="G14" s="24">
        <f t="dataTable" ref="G14:G28" dt2D="0" dtr="0" r1="G9"/>
        <v>579964.5</v>
      </c>
      <c r="H14" s="5"/>
      <c r="I14" s="25">
        <v>450000</v>
      </c>
      <c r="J14" s="26">
        <f t="dataTable" ref="J14:J28" dt2D="0" dtr="0" r1="J7"/>
        <v>652065.21089512075</v>
      </c>
      <c r="K14" s="13">
        <v>1</v>
      </c>
      <c r="L14" s="27">
        <f t="dataTable" ref="L14:L28" dt2D="0" dtr="0" r1="L9"/>
        <v>538500</v>
      </c>
    </row>
    <row r="15" spans="2:12" x14ac:dyDescent="0.3">
      <c r="B15" s="5"/>
      <c r="C15" s="10">
        <v>6.5500000000000003E-2</v>
      </c>
      <c r="D15" s="7">
        <v>686652.92529218236</v>
      </c>
      <c r="E15" s="5"/>
      <c r="F15" s="5">
        <v>3</v>
      </c>
      <c r="G15" s="24">
        <v>624621.76650000003</v>
      </c>
      <c r="H15" s="5"/>
      <c r="I15" s="25">
        <v>475000</v>
      </c>
      <c r="J15" s="26">
        <v>688291.05594484962</v>
      </c>
      <c r="K15" s="13">
        <v>2</v>
      </c>
      <c r="L15" s="27">
        <v>579964.5</v>
      </c>
    </row>
    <row r="16" spans="2:12" x14ac:dyDescent="0.3">
      <c r="B16" s="5"/>
      <c r="C16" s="10">
        <v>6.6000000000000003E-2</v>
      </c>
      <c r="D16" s="7">
        <v>688265.54300628824</v>
      </c>
      <c r="E16" s="5"/>
      <c r="F16" s="5">
        <v>4</v>
      </c>
      <c r="G16" s="24">
        <v>672717.6425205</v>
      </c>
      <c r="H16" s="5"/>
      <c r="I16" s="25">
        <v>500000</v>
      </c>
      <c r="J16" s="26">
        <v>724516.90099457849</v>
      </c>
      <c r="K16" s="13">
        <v>3</v>
      </c>
      <c r="L16" s="27">
        <v>624621.76650000003</v>
      </c>
    </row>
    <row r="17" spans="2:12" x14ac:dyDescent="0.3">
      <c r="B17" s="5"/>
      <c r="C17" s="10">
        <v>6.6500000000000004E-2</v>
      </c>
      <c r="D17" s="7">
        <v>689881.18910946709</v>
      </c>
      <c r="E17" s="5"/>
      <c r="F17" s="5">
        <v>5</v>
      </c>
      <c r="G17" s="24">
        <v>724516.90099457849</v>
      </c>
      <c r="H17" s="5"/>
      <c r="I17" s="25">
        <v>525000</v>
      </c>
      <c r="J17" s="26">
        <v>760742.74604430748</v>
      </c>
      <c r="K17" s="13">
        <v>5</v>
      </c>
      <c r="L17" s="27">
        <v>724516.90099457849</v>
      </c>
    </row>
    <row r="18" spans="2:12" x14ac:dyDescent="0.3">
      <c r="B18" s="5"/>
      <c r="C18" s="10">
        <v>6.7000000000000004E-2</v>
      </c>
      <c r="D18" s="7">
        <v>691499.86786505324</v>
      </c>
      <c r="E18" s="5"/>
      <c r="F18" s="5">
        <v>6</v>
      </c>
      <c r="G18" s="24">
        <v>780304.70237116108</v>
      </c>
      <c r="H18" s="5"/>
      <c r="I18" s="25">
        <v>550000</v>
      </c>
      <c r="J18" s="26">
        <v>796968.59109403635</v>
      </c>
      <c r="K18" s="13">
        <v>6</v>
      </c>
      <c r="L18" s="27">
        <v>780304.70237116108</v>
      </c>
    </row>
    <row r="19" spans="2:12" x14ac:dyDescent="0.3">
      <c r="B19" s="5"/>
      <c r="C19" s="10">
        <v>6.7500000000000004E-2</v>
      </c>
      <c r="D19" s="7">
        <v>693121.58354038058</v>
      </c>
      <c r="E19" s="5"/>
      <c r="F19" s="5">
        <v>7</v>
      </c>
      <c r="G19" s="24">
        <v>840388.16445374058</v>
      </c>
      <c r="H19" s="5"/>
      <c r="I19" s="25">
        <v>575000</v>
      </c>
      <c r="J19" s="26">
        <v>833194.43614376534</v>
      </c>
      <c r="K19" s="13">
        <v>7</v>
      </c>
      <c r="L19" s="27">
        <v>840388.16445374058</v>
      </c>
    </row>
    <row r="20" spans="2:12" x14ac:dyDescent="0.3">
      <c r="B20" s="5"/>
      <c r="C20" s="10">
        <v>6.8000000000000005E-2</v>
      </c>
      <c r="D20" s="7">
        <v>694746.34040678421</v>
      </c>
      <c r="E20" s="5"/>
      <c r="F20" s="5">
        <v>8</v>
      </c>
      <c r="G20" s="24">
        <v>905098.05311667861</v>
      </c>
      <c r="H20" s="5"/>
      <c r="I20" s="25">
        <v>600000</v>
      </c>
      <c r="J20" s="26">
        <v>869420.28119349421</v>
      </c>
      <c r="K20" s="13">
        <v>8</v>
      </c>
      <c r="L20" s="27">
        <v>905098.05311667861</v>
      </c>
    </row>
    <row r="21" spans="2:12" x14ac:dyDescent="0.3">
      <c r="B21" s="5"/>
      <c r="C21" s="10">
        <v>6.8500000000000005E-2</v>
      </c>
      <c r="D21" s="7">
        <v>696374.14273960085</v>
      </c>
      <c r="E21" s="5"/>
      <c r="F21" s="5">
        <v>9</v>
      </c>
      <c r="G21" s="24">
        <v>974790.60320666281</v>
      </c>
      <c r="H21" s="5"/>
      <c r="I21" s="25">
        <v>625000</v>
      </c>
      <c r="J21" s="26">
        <v>905646.1262432232</v>
      </c>
      <c r="K21" s="13">
        <v>9</v>
      </c>
      <c r="L21" s="27">
        <v>974790.60320666281</v>
      </c>
    </row>
    <row r="22" spans="2:12" x14ac:dyDescent="0.3">
      <c r="B22" s="5"/>
      <c r="C22" s="10">
        <v>6.9000000000000006E-2</v>
      </c>
      <c r="D22" s="7">
        <v>698004.9948181744</v>
      </c>
      <c r="E22" s="5"/>
      <c r="F22" s="5">
        <v>10</v>
      </c>
      <c r="G22" s="24">
        <v>1049849.4796535757</v>
      </c>
      <c r="H22" s="5"/>
      <c r="I22" s="25">
        <v>650000</v>
      </c>
      <c r="J22" s="26">
        <v>941871.97129295208</v>
      </c>
      <c r="K22" s="13">
        <v>10</v>
      </c>
      <c r="L22" s="27">
        <v>1049849.4796535757</v>
      </c>
    </row>
    <row r="23" spans="2:12" x14ac:dyDescent="0.3">
      <c r="B23" s="5"/>
      <c r="C23" s="10">
        <v>6.9500000000000006E-2</v>
      </c>
      <c r="D23" s="7">
        <v>699638.90092585504</v>
      </c>
      <c r="E23" s="5"/>
      <c r="F23" s="5">
        <v>11</v>
      </c>
      <c r="G23" s="24">
        <v>1130687.8895869013</v>
      </c>
      <c r="H23" s="5"/>
      <c r="I23" s="25">
        <v>675000</v>
      </c>
      <c r="J23" s="26">
        <v>978097.81634268106</v>
      </c>
      <c r="K23" s="13">
        <v>11</v>
      </c>
      <c r="L23" s="28">
        <v>1130687.8895869013</v>
      </c>
    </row>
    <row r="24" spans="2:12" x14ac:dyDescent="0.3">
      <c r="B24" s="5"/>
      <c r="C24" s="10">
        <v>7.0000000000000007E-2</v>
      </c>
      <c r="D24" s="7">
        <v>701275.86535000009</v>
      </c>
      <c r="E24" s="5"/>
      <c r="F24" s="5">
        <v>12</v>
      </c>
      <c r="G24" s="24">
        <v>1217750.8570850925</v>
      </c>
      <c r="H24" s="5"/>
      <c r="I24" s="25">
        <v>700000</v>
      </c>
      <c r="J24" s="26">
        <v>1014323.6613924099</v>
      </c>
      <c r="K24" s="13">
        <v>12</v>
      </c>
      <c r="L24" s="27">
        <v>1217750.8570850925</v>
      </c>
    </row>
    <row r="25" spans="2:12" x14ac:dyDescent="0.3">
      <c r="B25" s="5"/>
      <c r="C25" s="10">
        <v>7.0500000000000007E-2</v>
      </c>
      <c r="D25" s="7">
        <v>702915.89238197973</v>
      </c>
      <c r="E25" s="5"/>
      <c r="F25" s="5">
        <v>13</v>
      </c>
      <c r="G25" s="24">
        <v>1311517.6730806448</v>
      </c>
      <c r="H25" s="5"/>
      <c r="I25" s="25">
        <v>725000</v>
      </c>
      <c r="J25" s="26">
        <v>1050549.5064421389</v>
      </c>
      <c r="K25" s="13">
        <v>13</v>
      </c>
      <c r="L25" s="27">
        <v>1311517.6730806448</v>
      </c>
    </row>
    <row r="26" spans="2:12" x14ac:dyDescent="0.3">
      <c r="B26" s="5"/>
      <c r="C26" s="10">
        <v>7.1000000000000008E-2</v>
      </c>
      <c r="D26" s="7">
        <v>704558.98631717544</v>
      </c>
      <c r="E26" s="5"/>
      <c r="F26" s="5">
        <v>14</v>
      </c>
      <c r="G26" s="24">
        <v>1412504.5339078545</v>
      </c>
      <c r="H26" s="5"/>
      <c r="I26" s="25">
        <v>750000</v>
      </c>
      <c r="J26" s="26">
        <v>1086775.3514918678</v>
      </c>
      <c r="K26" s="13">
        <v>14</v>
      </c>
      <c r="L26" s="27">
        <v>1412504.5339078545</v>
      </c>
    </row>
    <row r="27" spans="2:12" x14ac:dyDescent="0.3">
      <c r="B27" s="5"/>
      <c r="C27" s="10">
        <v>7.1500000000000008E-2</v>
      </c>
      <c r="D27" s="7">
        <v>706205.15145498316</v>
      </c>
      <c r="E27" s="5"/>
      <c r="F27" s="5">
        <v>15</v>
      </c>
      <c r="G27" s="24">
        <v>1521267.3830187593</v>
      </c>
      <c r="H27" s="5"/>
      <c r="I27" s="25">
        <v>775000</v>
      </c>
      <c r="J27" s="26">
        <v>1123001.1965415967</v>
      </c>
      <c r="K27" s="13">
        <v>15</v>
      </c>
      <c r="L27" s="27">
        <v>1521267.3830187593</v>
      </c>
    </row>
    <row r="28" spans="2:12" x14ac:dyDescent="0.3">
      <c r="B28" s="5"/>
      <c r="C28" s="10">
        <v>7.2000000000000008E-2</v>
      </c>
      <c r="D28" s="7">
        <v>707854.39209881634</v>
      </c>
      <c r="E28" s="5"/>
      <c r="F28" s="5">
        <v>16</v>
      </c>
      <c r="G28" s="24">
        <v>1638404.9715112038</v>
      </c>
      <c r="H28" s="5"/>
      <c r="I28" s="25">
        <v>800000</v>
      </c>
      <c r="J28" s="26">
        <v>1159227.0415913258</v>
      </c>
      <c r="K28" s="13">
        <v>16</v>
      </c>
      <c r="L28" s="27">
        <v>1638404.9715112038</v>
      </c>
    </row>
    <row r="33" spans="2:2" x14ac:dyDescent="0.3">
      <c r="B33" s="3"/>
    </row>
  </sheetData>
  <conditionalFormatting sqref="L12:L22 L24:L28">
    <cfRule type="top10" priority="1" rank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51EA-11AC-402D-8B54-10ECC69FDA9F}">
  <dimension ref="D2:G21"/>
  <sheetViews>
    <sheetView zoomScaleNormal="100" workbookViewId="0">
      <selection activeCell="F15" sqref="F15"/>
    </sheetView>
  </sheetViews>
  <sheetFormatPr defaultRowHeight="14.4" x14ac:dyDescent="0.3"/>
  <cols>
    <col min="4" max="4" width="10.5546875" customWidth="1"/>
    <col min="5" max="5" width="8.88671875" customWidth="1"/>
    <col min="6" max="6" width="26.6640625" customWidth="1"/>
    <col min="7" max="7" width="18.5546875" customWidth="1"/>
  </cols>
  <sheetData>
    <row r="2" spans="4:7" x14ac:dyDescent="0.3">
      <c r="E2" t="s">
        <v>12</v>
      </c>
      <c r="F2" t="s">
        <v>13</v>
      </c>
    </row>
    <row r="5" spans="4:7" x14ac:dyDescent="0.3">
      <c r="D5" s="37" t="s">
        <v>14</v>
      </c>
      <c r="E5" s="37"/>
      <c r="F5" s="37"/>
      <c r="G5" s="37">
        <v>167</v>
      </c>
    </row>
    <row r="6" spans="4:7" x14ac:dyDescent="0.3">
      <c r="D6" t="s">
        <v>15</v>
      </c>
      <c r="G6">
        <v>3</v>
      </c>
    </row>
    <row r="7" spans="4:7" x14ac:dyDescent="0.3">
      <c r="D7" t="s">
        <v>16</v>
      </c>
      <c r="G7">
        <v>25</v>
      </c>
    </row>
    <row r="8" spans="4:7" x14ac:dyDescent="0.3">
      <c r="D8" t="s">
        <v>17</v>
      </c>
      <c r="G8">
        <v>35</v>
      </c>
    </row>
    <row r="9" spans="4:7" x14ac:dyDescent="0.3">
      <c r="D9" t="s">
        <v>18</v>
      </c>
      <c r="G9">
        <v>15</v>
      </c>
    </row>
    <row r="10" spans="4:7" x14ac:dyDescent="0.3">
      <c r="D10" t="s">
        <v>19</v>
      </c>
      <c r="G10">
        <v>89</v>
      </c>
    </row>
    <row r="12" spans="4:7" x14ac:dyDescent="0.3">
      <c r="D12" t="s">
        <v>20</v>
      </c>
      <c r="G12">
        <f>SUM(G6:G9)</f>
        <v>78</v>
      </c>
    </row>
    <row r="13" spans="4:7" x14ac:dyDescent="0.3">
      <c r="D13" t="s">
        <v>21</v>
      </c>
      <c r="G13">
        <f>G5-G12</f>
        <v>89</v>
      </c>
    </row>
    <row r="14" spans="4:7" x14ac:dyDescent="0.3">
      <c r="D14" t="s">
        <v>22</v>
      </c>
      <c r="G14" s="1">
        <v>0.53290000000000004</v>
      </c>
    </row>
    <row r="15" spans="4:7" x14ac:dyDescent="0.3">
      <c r="D15" t="s">
        <v>23</v>
      </c>
      <c r="G15" s="36">
        <f>(G12/G5)</f>
        <v>0.46706586826347307</v>
      </c>
    </row>
    <row r="16" spans="4:7" x14ac:dyDescent="0.3">
      <c r="D16" t="s">
        <v>24</v>
      </c>
      <c r="G16">
        <f>MAX(G6:G9)</f>
        <v>35</v>
      </c>
    </row>
    <row r="17" spans="4:7" x14ac:dyDescent="0.3">
      <c r="D17" t="s">
        <v>25</v>
      </c>
      <c r="G17">
        <f>AVERAGE(G6:G9)</f>
        <v>19.5</v>
      </c>
    </row>
    <row r="18" spans="4:7" x14ac:dyDescent="0.3">
      <c r="D18" t="s">
        <v>26</v>
      </c>
      <c r="G18">
        <f>MIN(G6:G9)</f>
        <v>3</v>
      </c>
    </row>
    <row r="21" spans="4:7" x14ac:dyDescent="0.3">
      <c r="D21" t="s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67F7-0173-48DF-84DE-3740414A09E7}">
  <dimension ref="A3:J30"/>
  <sheetViews>
    <sheetView zoomScaleNormal="100" workbookViewId="0">
      <selection activeCell="G31" sqref="G31"/>
    </sheetView>
  </sheetViews>
  <sheetFormatPr defaultRowHeight="14.4" x14ac:dyDescent="0.3"/>
  <cols>
    <col min="2" max="2" width="26.5546875" customWidth="1"/>
    <col min="3" max="3" width="15.6640625" customWidth="1"/>
    <col min="4" max="4" width="18.109375" customWidth="1"/>
    <col min="5" max="5" width="25.6640625" customWidth="1"/>
    <col min="6" max="6" width="14.88671875" customWidth="1"/>
    <col min="7" max="7" width="20.5546875" customWidth="1"/>
    <col min="9" max="9" width="19.109375" customWidth="1"/>
    <col min="10" max="10" width="24.33203125" customWidth="1"/>
  </cols>
  <sheetData>
    <row r="3" spans="1:10" ht="20.399999999999999" x14ac:dyDescent="0.35">
      <c r="E3" s="38" t="s">
        <v>28</v>
      </c>
      <c r="G3" s="38"/>
    </row>
    <row r="6" spans="1:10" x14ac:dyDescent="0.3">
      <c r="A6" s="5" t="s">
        <v>12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8" x14ac:dyDescent="0.35">
      <c r="A8" s="5"/>
      <c r="B8" s="40" t="s">
        <v>29</v>
      </c>
      <c r="C8" s="5"/>
      <c r="D8" s="5"/>
      <c r="E8" s="5"/>
      <c r="F8" s="40" t="s">
        <v>30</v>
      </c>
      <c r="G8" s="5"/>
      <c r="H8" s="5"/>
      <c r="I8" s="40" t="s">
        <v>31</v>
      </c>
      <c r="J8" s="5"/>
    </row>
    <row r="9" spans="1:10" x14ac:dyDescent="0.3">
      <c r="A9" s="5"/>
      <c r="B9" s="5" t="s">
        <v>32</v>
      </c>
      <c r="C9" s="5">
        <v>15000</v>
      </c>
      <c r="D9" s="42">
        <f>C9*12</f>
        <v>180000</v>
      </c>
      <c r="E9" s="5"/>
      <c r="F9" s="5" t="s">
        <v>33</v>
      </c>
      <c r="G9" s="42">
        <v>5000000</v>
      </c>
      <c r="H9" s="5"/>
      <c r="I9" s="5" t="s">
        <v>34</v>
      </c>
      <c r="J9" s="25">
        <v>1098000</v>
      </c>
    </row>
    <row r="10" spans="1:10" x14ac:dyDescent="0.3">
      <c r="A10" s="5"/>
      <c r="B10" s="5" t="s">
        <v>35</v>
      </c>
      <c r="C10" s="5">
        <v>16500</v>
      </c>
      <c r="D10" s="42">
        <f>C10*12</f>
        <v>198000</v>
      </c>
      <c r="E10" s="5"/>
      <c r="F10" s="5" t="s">
        <v>36</v>
      </c>
      <c r="G10" s="42">
        <v>125000</v>
      </c>
      <c r="H10" s="5"/>
      <c r="I10" s="5" t="s">
        <v>37</v>
      </c>
      <c r="J10" s="25">
        <v>5185000</v>
      </c>
    </row>
    <row r="11" spans="1:10" x14ac:dyDescent="0.3">
      <c r="A11" s="5"/>
      <c r="B11" s="5" t="s">
        <v>38</v>
      </c>
      <c r="C11" s="5">
        <v>18000</v>
      </c>
      <c r="D11" s="42">
        <f>C11*12</f>
        <v>216000</v>
      </c>
      <c r="E11" s="5"/>
      <c r="F11" s="5" t="s">
        <v>39</v>
      </c>
      <c r="G11" s="42">
        <v>60000</v>
      </c>
      <c r="H11" s="5"/>
      <c r="I11" s="5"/>
      <c r="J11" s="5"/>
    </row>
    <row r="12" spans="1:10" x14ac:dyDescent="0.3">
      <c r="A12" s="5"/>
      <c r="B12" s="5" t="s">
        <v>40</v>
      </c>
      <c r="C12" s="5">
        <v>19500</v>
      </c>
      <c r="D12" s="42">
        <f>C13*12</f>
        <v>252000</v>
      </c>
      <c r="E12" s="5"/>
      <c r="F12" s="5"/>
      <c r="G12" s="5"/>
      <c r="H12" s="5"/>
      <c r="I12" s="5"/>
      <c r="J12" s="5"/>
    </row>
    <row r="13" spans="1:10" x14ac:dyDescent="0.3">
      <c r="A13" s="5"/>
      <c r="B13" s="5" t="s">
        <v>41</v>
      </c>
      <c r="C13" s="5">
        <v>21000</v>
      </c>
      <c r="D13" s="42">
        <f>C13*12</f>
        <v>252000</v>
      </c>
      <c r="E13" s="5"/>
      <c r="F13" s="5"/>
      <c r="G13" s="5"/>
      <c r="H13" s="5"/>
      <c r="I13" s="5" t="s">
        <v>42</v>
      </c>
      <c r="J13" s="4" t="s">
        <v>43</v>
      </c>
    </row>
    <row r="14" spans="1:10" x14ac:dyDescent="0.3">
      <c r="A14" s="5"/>
      <c r="B14" s="5" t="s">
        <v>44</v>
      </c>
      <c r="C14" s="10">
        <v>7.4999999999999997E-2</v>
      </c>
      <c r="D14" s="5"/>
      <c r="E14" s="5"/>
      <c r="F14" s="5"/>
      <c r="G14" s="5"/>
      <c r="H14" s="5"/>
      <c r="I14" s="5"/>
      <c r="J14" s="5"/>
    </row>
    <row r="15" spans="1:10" x14ac:dyDescent="0.3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3">
      <c r="A16" s="5"/>
      <c r="B16" s="5" t="s">
        <v>45</v>
      </c>
      <c r="C16" s="5"/>
      <c r="D16" s="42">
        <f>D9+D10+D11+D12+D13</f>
        <v>1098000</v>
      </c>
      <c r="E16" s="5"/>
      <c r="F16" s="5" t="s">
        <v>46</v>
      </c>
      <c r="G16" s="42">
        <f>SUM(G9:G11)</f>
        <v>5185000</v>
      </c>
      <c r="H16" s="5"/>
      <c r="I16" s="5"/>
      <c r="J16" s="5"/>
    </row>
    <row r="17" spans="1:10" x14ac:dyDescent="0.3">
      <c r="A17" s="5"/>
      <c r="B17" s="5"/>
      <c r="C17" s="5"/>
      <c r="D17" s="5"/>
      <c r="E17" s="5"/>
      <c r="F17" s="5"/>
      <c r="G17" s="5"/>
      <c r="H17" s="5"/>
      <c r="I17" s="5"/>
      <c r="J17" s="5"/>
    </row>
    <row r="20" spans="1:10" ht="18" x14ac:dyDescent="0.35">
      <c r="E20" s="39" t="s">
        <v>47</v>
      </c>
    </row>
    <row r="21" spans="1:10" ht="18" x14ac:dyDescent="0.35">
      <c r="E21" s="39"/>
    </row>
    <row r="22" spans="1:10" ht="18" x14ac:dyDescent="0.35">
      <c r="B22" s="5"/>
      <c r="C22" s="5"/>
      <c r="D22" s="5"/>
      <c r="E22" s="5"/>
      <c r="F22" s="5"/>
      <c r="G22" s="5"/>
      <c r="H22" s="5"/>
      <c r="I22" s="40" t="s">
        <v>48</v>
      </c>
      <c r="J22" s="5"/>
    </row>
    <row r="23" spans="1:10" ht="18" x14ac:dyDescent="0.35">
      <c r="B23" s="40" t="s">
        <v>49</v>
      </c>
      <c r="C23" s="40" t="s">
        <v>50</v>
      </c>
      <c r="D23" s="40" t="s">
        <v>51</v>
      </c>
      <c r="E23" s="5"/>
      <c r="F23" s="40" t="s">
        <v>52</v>
      </c>
      <c r="G23" s="5"/>
      <c r="H23" s="5"/>
      <c r="I23" s="5" t="s">
        <v>4</v>
      </c>
      <c r="J23" s="5" t="s">
        <v>53</v>
      </c>
    </row>
    <row r="24" spans="1:10" x14ac:dyDescent="0.3">
      <c r="B24" s="5" t="s">
        <v>54</v>
      </c>
      <c r="C24" s="42">
        <v>3000</v>
      </c>
      <c r="D24" s="42">
        <f>C24*12*(1+C29)</f>
        <v>38160</v>
      </c>
      <c r="E24" s="5"/>
      <c r="F24" s="5" t="s">
        <v>55</v>
      </c>
      <c r="G24" s="42">
        <v>200000</v>
      </c>
      <c r="H24" s="5"/>
      <c r="I24" s="41">
        <v>0.05</v>
      </c>
      <c r="J24" s="42">
        <f>C24*12*(1+I24)</f>
        <v>37800</v>
      </c>
    </row>
    <row r="25" spans="1:10" x14ac:dyDescent="0.3">
      <c r="B25" s="5" t="s">
        <v>56</v>
      </c>
      <c r="C25" s="42">
        <v>3500</v>
      </c>
      <c r="D25" s="42">
        <f>C25*12*(1+C29)</f>
        <v>44520</v>
      </c>
      <c r="E25" s="5"/>
      <c r="F25" s="5" t="s">
        <v>57</v>
      </c>
      <c r="G25" s="42">
        <v>40000</v>
      </c>
      <c r="H25" s="5"/>
      <c r="I25" s="41">
        <v>0.06</v>
      </c>
      <c r="J25" s="42">
        <f>C25*12*(1+I25)</f>
        <v>44520</v>
      </c>
    </row>
    <row r="26" spans="1:10" x14ac:dyDescent="0.3">
      <c r="B26" s="5" t="s">
        <v>58</v>
      </c>
      <c r="C26" s="42">
        <v>4000</v>
      </c>
      <c r="D26" s="42">
        <f>C26*12*(1+C29)</f>
        <v>50880</v>
      </c>
      <c r="E26" s="5"/>
      <c r="F26" s="5" t="s">
        <v>59</v>
      </c>
      <c r="G26" s="42">
        <v>20000</v>
      </c>
      <c r="H26" s="5"/>
      <c r="I26" s="41">
        <v>0.08</v>
      </c>
      <c r="J26" s="42">
        <f>C26*12*(1+I26)</f>
        <v>51840</v>
      </c>
    </row>
    <row r="27" spans="1:10" x14ac:dyDescent="0.3">
      <c r="B27" s="5" t="s">
        <v>60</v>
      </c>
      <c r="C27" s="42">
        <v>5000</v>
      </c>
      <c r="D27" s="42">
        <f>C27*12*(1+C29)</f>
        <v>63600</v>
      </c>
      <c r="E27" s="5"/>
      <c r="F27" s="5"/>
      <c r="G27" s="5"/>
      <c r="H27" s="5"/>
      <c r="I27" s="5"/>
      <c r="J27" s="42"/>
    </row>
    <row r="28" spans="1:10" x14ac:dyDescent="0.3"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3">
      <c r="B29" s="5" t="s">
        <v>4</v>
      </c>
      <c r="C29" s="41">
        <v>0.06</v>
      </c>
      <c r="D29" s="42"/>
      <c r="E29" s="5"/>
      <c r="F29" s="5"/>
      <c r="G29" s="5"/>
      <c r="H29" s="5"/>
      <c r="I29" s="5"/>
      <c r="J29" s="5"/>
    </row>
    <row r="30" spans="1:10" x14ac:dyDescent="0.3">
      <c r="B30" s="5" t="s">
        <v>61</v>
      </c>
      <c r="C30" s="5"/>
      <c r="D30" s="42">
        <f>SUM(D24:D27)</f>
        <v>197160</v>
      </c>
      <c r="E30" s="5"/>
      <c r="F30" s="5"/>
      <c r="G30" s="5"/>
      <c r="H30" s="5"/>
      <c r="I30" s="5" t="s">
        <v>62</v>
      </c>
      <c r="J30" s="42">
        <f>SUM(J24:J26)</f>
        <v>134160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8C41-C853-4768-80A3-F8525E93CA5F}">
  <dimension ref="F2:N9"/>
  <sheetViews>
    <sheetView zoomScale="70" zoomScaleNormal="70" workbookViewId="0">
      <selection activeCell="M8" sqref="M8"/>
    </sheetView>
  </sheetViews>
  <sheetFormatPr defaultRowHeight="14.4" x14ac:dyDescent="0.3"/>
  <cols>
    <col min="6" max="6" width="43.88671875" customWidth="1"/>
    <col min="7" max="7" width="46" customWidth="1"/>
    <col min="8" max="8" width="41.33203125" customWidth="1"/>
  </cols>
  <sheetData>
    <row r="2" spans="6:14" ht="18" x14ac:dyDescent="0.35">
      <c r="F2" s="33" t="s">
        <v>63</v>
      </c>
      <c r="G2" s="33" t="s">
        <v>64</v>
      </c>
      <c r="H2" s="34"/>
      <c r="I2" s="5"/>
      <c r="J2" s="5"/>
      <c r="K2" s="34"/>
      <c r="L2" s="35"/>
      <c r="M2" s="35"/>
      <c r="N2" s="35"/>
    </row>
    <row r="5" spans="6:14" ht="21" x14ac:dyDescent="0.4">
      <c r="F5" s="43" t="s">
        <v>65</v>
      </c>
      <c r="G5" s="44" t="s">
        <v>66</v>
      </c>
      <c r="H5" s="5"/>
    </row>
    <row r="6" spans="6:14" ht="111" customHeight="1" x14ac:dyDescent="0.4">
      <c r="F6" s="45" t="s">
        <v>67</v>
      </c>
      <c r="G6" s="45" t="s">
        <v>68</v>
      </c>
      <c r="H6" s="46" t="s">
        <v>69</v>
      </c>
    </row>
    <row r="7" spans="6:14" ht="126" x14ac:dyDescent="0.4">
      <c r="F7" s="45" t="s">
        <v>70</v>
      </c>
      <c r="G7" s="45" t="s">
        <v>71</v>
      </c>
      <c r="H7" s="46" t="s">
        <v>72</v>
      </c>
    </row>
    <row r="8" spans="6:14" ht="105" x14ac:dyDescent="0.4">
      <c r="F8" s="45" t="s">
        <v>73</v>
      </c>
      <c r="G8" s="45" t="s">
        <v>74</v>
      </c>
      <c r="H8" s="46" t="s">
        <v>75</v>
      </c>
    </row>
    <row r="9" spans="6:14" ht="105" x14ac:dyDescent="0.4">
      <c r="F9" s="45" t="s">
        <v>76</v>
      </c>
      <c r="G9" s="45" t="s">
        <v>77</v>
      </c>
      <c r="H9" s="4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 3</vt:lpstr>
      <vt:lpstr>Task4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Lenovo</cp:lastModifiedBy>
  <cp:revision/>
  <dcterms:created xsi:type="dcterms:W3CDTF">2026-01-24T13:52:27Z</dcterms:created>
  <dcterms:modified xsi:type="dcterms:W3CDTF">2026-01-27T12:28:49Z</dcterms:modified>
  <cp:category/>
  <cp:contentStatus/>
</cp:coreProperties>
</file>